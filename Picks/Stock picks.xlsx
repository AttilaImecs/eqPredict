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 4" sheetId="1" r:id="rId5"/>
  </sheets>
  <definedNames/>
  <calcPr/>
</workbook>
</file>

<file path=xl/sharedStrings.xml><?xml version="1.0" encoding="utf-8"?>
<sst xmlns="http://schemas.openxmlformats.org/spreadsheetml/2006/main" count="11" uniqueCount="11">
  <si>
    <t>Picks</t>
  </si>
  <si>
    <t>%</t>
  </si>
  <si>
    <t>Current</t>
  </si>
  <si>
    <t>Value</t>
  </si>
  <si>
    <t>BA</t>
  </si>
  <si>
    <t>CRCL</t>
  </si>
  <si>
    <t>RL</t>
  </si>
  <si>
    <t>Sells</t>
  </si>
  <si>
    <t>RBLX</t>
  </si>
  <si>
    <t>AAPL</t>
  </si>
  <si>
    <t>CRM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</si>
</sst>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2" xfId="0" applyFont="1" applyNumberForma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13"/>
    <col customWidth="1" min="4" max="4" width="6.5"/>
    <col customWidth="1" min="5" max="5" width="6.63"/>
  </cols>
  <sheetData>
    <row r="1">
      <c r="A1" s="1" t="s">
        <v>0</v>
      </c>
      <c r="B1" s="1" t="s">
        <v>1</v>
      </c>
      <c r="C1" s="2">
        <v>46238.0</v>
      </c>
      <c r="D1" s="1" t="s">
        <v>2</v>
      </c>
      <c r="E1" s="1" t="s">
        <v>3</v>
      </c>
    </row>
    <row r="2">
      <c r="A2" s="3" t="s">
        <v>4</v>
      </c>
      <c r="B2" s="4">
        <v>0.4</v>
      </c>
      <c r="C2" s="5">
        <v>236.79</v>
      </c>
      <c r="D2" s="5">
        <f>IFERROR(__xludf.DUMMYFUNCTION("GOOGLEFINANCE(CONCATENATE(""NYSE:"",A2))"),235.24)</f>
        <v>235.24</v>
      </c>
      <c r="E2" s="6">
        <f t="shared" ref="E2:E4" si="1">(D2/C2)*100*B2-100*B2</f>
        <v>-0.2618353816</v>
      </c>
    </row>
    <row r="3">
      <c r="A3" s="3" t="s">
        <v>5</v>
      </c>
      <c r="B3" s="4">
        <v>0.35</v>
      </c>
      <c r="C3" s="5">
        <v>61.97</v>
      </c>
      <c r="D3" s="5">
        <f>IFERROR(__xludf.DUMMYFUNCTION("GOOGLEFINANCE(CONCATENATE(""NYSE:"",A3))"),65.69)</f>
        <v>65.69</v>
      </c>
      <c r="E3" s="6">
        <f t="shared" si="1"/>
        <v>2.101016621</v>
      </c>
    </row>
    <row r="4">
      <c r="A4" s="3" t="s">
        <v>6</v>
      </c>
      <c r="B4" s="4">
        <v>0.25</v>
      </c>
      <c r="C4" s="5">
        <v>379.59</v>
      </c>
      <c r="D4" s="5">
        <f>IFERROR(__xludf.DUMMYFUNCTION("GOOGLEFINANCE(CONCATENATE(""NYSE:"",A4))"),401.25)</f>
        <v>401.25</v>
      </c>
      <c r="E4" s="6">
        <f t="shared" si="1"/>
        <v>1.426539161</v>
      </c>
    </row>
    <row r="5">
      <c r="E5" s="6">
        <f>sum(E2:E4)</f>
        <v>3.2657204</v>
      </c>
    </row>
    <row r="7">
      <c r="A7" s="7" t="s">
        <v>7</v>
      </c>
      <c r="B7" s="8"/>
      <c r="C7" s="9"/>
      <c r="D7" s="8"/>
      <c r="E7" s="8"/>
    </row>
    <row r="8">
      <c r="A8" s="3" t="s">
        <v>8</v>
      </c>
      <c r="B8" s="4">
        <v>0.55</v>
      </c>
      <c r="C8" s="5">
        <v>37.3</v>
      </c>
      <c r="D8" s="5">
        <f>IFERROR(__xludf.DUMMYFUNCTION("GOOGLEFINANCE(CONCATENATE(""NYSE:"",A8))"),38.23)</f>
        <v>38.23</v>
      </c>
      <c r="E8" s="6">
        <f t="shared" ref="E8:E10" si="2">100*B8-(D8/C8)*100*B8</f>
        <v>-1.371313673</v>
      </c>
    </row>
    <row r="9">
      <c r="A9" s="3" t="s">
        <v>9</v>
      </c>
      <c r="B9" s="4">
        <v>0.3</v>
      </c>
      <c r="C9" s="5">
        <v>305.95</v>
      </c>
      <c r="D9" s="5">
        <f>IFERROR(__xludf.DUMMYFUNCTION("GOOGLEFINANCE(CONCATENATE(""NASDAQ:"",A9))"),305.88)</f>
        <v>305.88</v>
      </c>
      <c r="E9" s="6">
        <f t="shared" si="2"/>
        <v>0.006863866645</v>
      </c>
    </row>
    <row r="10">
      <c r="A10" s="3" t="s">
        <v>10</v>
      </c>
      <c r="B10" s="4">
        <v>0.25</v>
      </c>
      <c r="C10" s="5">
        <v>189.1</v>
      </c>
      <c r="D10" s="5">
        <f>IFERROR(__xludf.DUMMYFUNCTION("GOOGLEFINANCE(CONCATENATE(""NYSE:"",A10))"),196.41)</f>
        <v>196.41</v>
      </c>
      <c r="E10" s="6">
        <f t="shared" si="2"/>
        <v>-0.9664198837</v>
      </c>
    </row>
    <row r="11">
      <c r="E11" s="6">
        <f>sum(E8:E10)</f>
        <v>-2.33086969</v>
      </c>
    </row>
    <row r="13">
      <c r="E13" s="6">
        <f>E11*sum(B2:B4)/sum(B8:B10)+E5</f>
        <v>1.146747955</v>
      </c>
    </row>
  </sheetData>
  <conditionalFormatting sqref="E2:E5">
    <cfRule type="cellIs" dxfId="0" priority="1" operator="greaterThan">
      <formula>0</formula>
    </cfRule>
  </conditionalFormatting>
  <conditionalFormatting sqref="E2:E5">
    <cfRule type="cellIs" dxfId="1" priority="2" operator="lessThan">
      <formula>0</formula>
    </cfRule>
  </conditionalFormatting>
  <conditionalFormatting sqref="E2:E5 E8:E11 E13">
    <cfRule type="cellIs" dxfId="0" priority="3" operator="greaterThan">
      <formula>0</formula>
    </cfRule>
  </conditionalFormatting>
  <conditionalFormatting sqref="E2:E5 E8:E11 E13">
    <cfRule type="cellIs" dxfId="1" priority="4" operator="lessThan">
      <formula>0</formula>
    </cfRule>
  </conditionalFormatting>
  <drawing r:id="rId1"/>
</worksheet>
</file>